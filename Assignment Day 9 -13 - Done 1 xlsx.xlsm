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/>
  <mc:AlternateContent xmlns:mc="http://schemas.openxmlformats.org/markup-compatibility/2006">
    <mc:Choice Requires="x15">
      <x15ac:absPath xmlns:x15ac="http://schemas.microsoft.com/office/spreadsheetml/2010/11/ac" url="C:\Users\arunj\Desktop\Assignments\Answers\"/>
    </mc:Choice>
  </mc:AlternateContent>
  <xr:revisionPtr revIDLastSave="0" documentId="13_ncr:1_{A346CBD5-B1D1-4FF2-92B8-83DBB5CB54C3}" xr6:coauthVersionLast="47" xr6:coauthVersionMax="47" xr10:uidLastSave="{00000000-0000-0000-0000-000000000000}"/>
  <bookViews>
    <workbookView xWindow="-90" yWindow="-90" windowWidth="16637" windowHeight="8983" activeTab="1" xr2:uid="{00000000-000D-0000-FFFF-FFFF00000000}"/>
  </bookViews>
  <sheets>
    <sheet name="1" sheetId="1" r:id="rId1"/>
    <sheet name="1 - Answer" sheetId="11" r:id="rId2"/>
    <sheet name="2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11" l="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9" i="11"/>
  <c r="I43" i="11"/>
  <c r="G43" i="11"/>
  <c r="F43" i="11"/>
  <c r="E43" i="11"/>
  <c r="J40" i="11"/>
  <c r="J39" i="11"/>
  <c r="J38" i="11"/>
  <c r="J37" i="11"/>
  <c r="J36" i="11"/>
  <c r="J35" i="11"/>
  <c r="J34" i="11"/>
  <c r="J33" i="11"/>
  <c r="J32" i="11"/>
  <c r="J31" i="11"/>
  <c r="J30" i="11"/>
  <c r="J29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43" i="11" s="1"/>
  <c r="J41" i="11"/>
  <c r="H40" i="11"/>
  <c r="H39" i="11"/>
  <c r="H38" i="11"/>
  <c r="H37" i="11"/>
  <c r="H36" i="11"/>
  <c r="H35" i="11"/>
  <c r="H34" i="11"/>
  <c r="H33" i="11"/>
  <c r="H32" i="11"/>
  <c r="H31" i="11"/>
  <c r="H30" i="11"/>
  <c r="H29" i="11"/>
  <c r="H28" i="11"/>
  <c r="H27" i="11"/>
  <c r="H26" i="11"/>
  <c r="H25" i="11"/>
  <c r="H24" i="11"/>
  <c r="H23" i="11"/>
  <c r="H22" i="11"/>
  <c r="H21" i="11"/>
  <c r="H20" i="11"/>
  <c r="H19" i="11"/>
  <c r="H18" i="11"/>
  <c r="H17" i="11"/>
  <c r="H16" i="11"/>
  <c r="H15" i="11"/>
  <c r="H14" i="11"/>
  <c r="H13" i="11"/>
  <c r="H12" i="11"/>
  <c r="H11" i="11"/>
  <c r="H10" i="11"/>
  <c r="H9" i="11"/>
  <c r="H43" i="11" s="1"/>
  <c r="H41" i="11"/>
  <c r="J9" i="1"/>
  <c r="H9" i="1"/>
</calcChain>
</file>

<file path=xl/sharedStrings.xml><?xml version="1.0" encoding="utf-8"?>
<sst xmlns="http://schemas.openxmlformats.org/spreadsheetml/2006/main" count="99" uniqueCount="24">
  <si>
    <t>Record a Macro to format the table of any size, with proper Number Formatting</t>
  </si>
  <si>
    <t>And Profit , Profit % calculation</t>
  </si>
  <si>
    <t>Create a form which captures New Joinee Details and save it in a proper dataset in excel.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</si>
  <si>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</si>
  <si>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</si>
  <si>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</si>
  <si>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</si>
  <si>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</si>
  <si>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</si>
  <si>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</si>
  <si>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</si>
  <si>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</si>
  <si>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</si>
  <si>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</si>
  <si>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</si>
  <si>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</si>
  <si>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</si>
  <si>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</si>
  <si>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</si>
  <si>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</si>
  <si>
    <t>Note: Assign a Macro to a 'Submit' Button</t>
  </si>
  <si>
    <t>Sl.No.</t>
  </si>
  <si>
    <t>Added</t>
  </si>
  <si>
    <t>Answer is in a separate workbook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</si>
</sst>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0" fillId="0" borderId="1" xfId="0" applyBorder="1"/>
    <xf numFmtId="0" fontId="2" fillId="0" borderId="1" xfId="0" applyFont="1" applyBorder="1"/>
    <xf numFmtId="0" fontId="0" fillId="2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C2:J43"/>
  <sheetViews>
    <sheetView zoomScale="70" zoomScaleNormal="70" workbookViewId="0">
      <selection activeCell="L14" sqref="L14"/>
    </sheetView>
  </sheetViews>
  <sheetFormatPr defaultRowHeight="14.6" x14ac:dyDescent="0.85"/>
  <cols>
    <col min="4" max="4" width="12" bestFit="1" customWidth="1"/>
    <col min="5" max="5" width="18" bestFit="1" customWidth="1"/>
    <col min="7" max="7" width="11.765625" bestFit="1" customWidth="1"/>
    <col min="8" max="8" width="18" bestFit="1" customWidth="1"/>
    <col min="9" max="9" width="20.34375" bestFit="1" customWidth="1"/>
  </cols>
  <sheetData>
    <row r="2" spans="3:10" x14ac:dyDescent="0.85">
      <c r="C2" s="1" t="s">
        <v>0</v>
      </c>
      <c r="I2" s="1" t="s">
        <v>19</v>
      </c>
    </row>
    <row r="3" spans="3:10" x14ac:dyDescent="0.85">
      <c r="C3" s="1" t="s">
        <v>1</v>
      </c>
    </row>
    <row r="4" spans="3:10" x14ac:dyDescent="0.85">
      <c r="C4" s="1" t="s">
        <v>16</v>
      </c>
    </row>
    <row r="5" spans="3:10" x14ac:dyDescent="0.85">
      <c r="C5" s="1" t="s">
        <v>17</v>
      </c>
    </row>
    <row r="6" spans="3:10" x14ac:dyDescent="0.85">
      <c r="C6" s="1" t="s">
        <v>18</v>
      </c>
    </row>
    <row r="8" spans="3:10" x14ac:dyDescent="0.85">
      <c r="C8" t="s">
        <v>3</v>
      </c>
      <c r="D8" t="s">
        <v>4</v>
      </c>
      <c r="E8" t="s">
        <v>11</v>
      </c>
      <c r="F8" t="s">
        <v>12</v>
      </c>
      <c r="G8" t="s">
        <v>13</v>
      </c>
      <c r="H8" t="s">
        <v>14</v>
      </c>
      <c r="I8" t="s">
        <v>15</v>
      </c>
      <c r="J8" t="s">
        <v>10</v>
      </c>
    </row>
    <row r="9" spans="3:10" x14ac:dyDescent="0.85">
      <c r="C9">
        <v>20847</v>
      </c>
      <c r="D9" t="s">
        <v>5</v>
      </c>
      <c r="E9">
        <v>4</v>
      </c>
      <c r="F9">
        <v>2.84</v>
      </c>
      <c r="G9">
        <v>0.93</v>
      </c>
      <c r="H9">
        <f t="shared" ref="H9" si="0">(E9*F9)+G9</f>
        <v>12.29</v>
      </c>
      <c r="I9">
        <v>0.54</v>
      </c>
      <c r="J9">
        <f t="shared" ref="J9" si="1">I9*E9-G9</f>
        <v>1.23</v>
      </c>
    </row>
    <row r="10" spans="3:10" x14ac:dyDescent="0.85">
      <c r="C10">
        <v>20228</v>
      </c>
      <c r="D10" t="s">
        <v>6</v>
      </c>
      <c r="E10">
        <v>12</v>
      </c>
      <c r="F10">
        <v>500.98</v>
      </c>
      <c r="G10">
        <v>26</v>
      </c>
      <c r="I10">
        <v>0.6</v>
      </c>
    </row>
    <row r="11" spans="3:10" x14ac:dyDescent="0.85">
      <c r="C11">
        <v>21776</v>
      </c>
      <c r="D11" t="s">
        <v>7</v>
      </c>
      <c r="E11">
        <v>22</v>
      </c>
      <c r="F11">
        <v>9.48</v>
      </c>
      <c r="G11">
        <v>7.29</v>
      </c>
      <c r="I11">
        <v>0.45</v>
      </c>
    </row>
    <row r="12" spans="3:10" x14ac:dyDescent="0.85">
      <c r="C12">
        <v>24844</v>
      </c>
      <c r="D12" t="s">
        <v>8</v>
      </c>
      <c r="E12">
        <v>16</v>
      </c>
      <c r="F12">
        <v>78.69</v>
      </c>
      <c r="G12">
        <v>19.989999999999998</v>
      </c>
      <c r="I12">
        <v>0.43</v>
      </c>
    </row>
    <row r="13" spans="3:10" x14ac:dyDescent="0.85">
      <c r="C13">
        <v>24846</v>
      </c>
      <c r="D13" t="s">
        <v>8</v>
      </c>
      <c r="E13">
        <v>7</v>
      </c>
      <c r="F13">
        <v>3.28</v>
      </c>
      <c r="G13">
        <v>2.31</v>
      </c>
      <c r="I13">
        <v>0.56000000000000005</v>
      </c>
    </row>
    <row r="14" spans="3:10" x14ac:dyDescent="0.85">
      <c r="C14">
        <v>24847</v>
      </c>
      <c r="D14" t="s">
        <v>8</v>
      </c>
      <c r="E14">
        <v>4</v>
      </c>
      <c r="F14">
        <v>3.28</v>
      </c>
      <c r="G14">
        <v>4.2</v>
      </c>
      <c r="I14">
        <v>0.56000000000000005</v>
      </c>
    </row>
    <row r="15" spans="3:10" x14ac:dyDescent="0.85">
      <c r="C15">
        <v>24848</v>
      </c>
      <c r="D15" t="s">
        <v>8</v>
      </c>
      <c r="E15">
        <v>4</v>
      </c>
      <c r="F15">
        <v>3.58</v>
      </c>
      <c r="G15">
        <v>1.63</v>
      </c>
      <c r="I15">
        <v>0.36</v>
      </c>
    </row>
    <row r="16" spans="3:10" x14ac:dyDescent="0.85">
      <c r="C16">
        <v>18181</v>
      </c>
      <c r="D16" t="s">
        <v>7</v>
      </c>
      <c r="E16">
        <v>7</v>
      </c>
      <c r="F16">
        <v>4.42</v>
      </c>
      <c r="G16">
        <v>4.99</v>
      </c>
      <c r="I16">
        <v>0.38</v>
      </c>
    </row>
    <row r="17" spans="3:9" x14ac:dyDescent="0.85">
      <c r="C17">
        <v>20925</v>
      </c>
      <c r="D17" t="s">
        <v>8</v>
      </c>
      <c r="E17">
        <v>10</v>
      </c>
      <c r="F17">
        <v>35.94</v>
      </c>
      <c r="G17">
        <v>6.66</v>
      </c>
      <c r="I17">
        <v>0.4</v>
      </c>
    </row>
    <row r="18" spans="3:9" x14ac:dyDescent="0.85">
      <c r="C18">
        <v>26267</v>
      </c>
      <c r="D18" t="s">
        <v>5</v>
      </c>
      <c r="E18">
        <v>6</v>
      </c>
      <c r="F18">
        <v>2.98</v>
      </c>
      <c r="G18">
        <v>1.58</v>
      </c>
      <c r="I18">
        <v>0.39</v>
      </c>
    </row>
    <row r="19" spans="3:9" x14ac:dyDescent="0.85">
      <c r="C19">
        <v>26268</v>
      </c>
      <c r="D19" t="s">
        <v>5</v>
      </c>
      <c r="E19">
        <v>10</v>
      </c>
      <c r="F19">
        <v>115.99</v>
      </c>
      <c r="G19">
        <v>2.5</v>
      </c>
      <c r="I19">
        <v>0.55000000000000004</v>
      </c>
    </row>
    <row r="20" spans="3:9" x14ac:dyDescent="0.85">
      <c r="C20">
        <v>23890</v>
      </c>
      <c r="D20" t="s">
        <v>5</v>
      </c>
      <c r="E20">
        <v>17</v>
      </c>
      <c r="F20">
        <v>26.48</v>
      </c>
      <c r="G20">
        <v>6.93</v>
      </c>
      <c r="I20">
        <v>0.49</v>
      </c>
    </row>
    <row r="21" spans="3:9" x14ac:dyDescent="0.85">
      <c r="C21">
        <v>24063</v>
      </c>
      <c r="D21" t="s">
        <v>6</v>
      </c>
      <c r="E21">
        <v>18</v>
      </c>
      <c r="F21">
        <v>12.99</v>
      </c>
      <c r="G21">
        <v>9.44</v>
      </c>
      <c r="I21">
        <v>0.39</v>
      </c>
    </row>
    <row r="22" spans="3:9" x14ac:dyDescent="0.85">
      <c r="C22">
        <v>5890</v>
      </c>
      <c r="D22" t="s">
        <v>5</v>
      </c>
      <c r="E22">
        <v>70</v>
      </c>
      <c r="F22">
        <v>26.48</v>
      </c>
      <c r="G22">
        <v>6.93</v>
      </c>
      <c r="I22">
        <v>0.49</v>
      </c>
    </row>
    <row r="23" spans="3:9" x14ac:dyDescent="0.85">
      <c r="C23">
        <v>6062</v>
      </c>
      <c r="D23" t="s">
        <v>6</v>
      </c>
      <c r="E23">
        <v>58</v>
      </c>
      <c r="F23">
        <v>5</v>
      </c>
      <c r="G23">
        <v>3.39</v>
      </c>
      <c r="I23">
        <v>0.37</v>
      </c>
    </row>
    <row r="24" spans="3:9" x14ac:dyDescent="0.85">
      <c r="C24">
        <v>6063</v>
      </c>
      <c r="D24" t="s">
        <v>6</v>
      </c>
      <c r="E24">
        <v>71</v>
      </c>
      <c r="F24">
        <v>12.99</v>
      </c>
      <c r="G24">
        <v>9.44</v>
      </c>
      <c r="I24">
        <v>0.39</v>
      </c>
    </row>
    <row r="25" spans="3:9" x14ac:dyDescent="0.85">
      <c r="C25">
        <v>20631</v>
      </c>
      <c r="D25" t="s">
        <v>5</v>
      </c>
      <c r="E25">
        <v>1</v>
      </c>
      <c r="F25">
        <v>55.48</v>
      </c>
      <c r="G25">
        <v>14.3</v>
      </c>
      <c r="I25">
        <v>0.37</v>
      </c>
    </row>
    <row r="26" spans="3:9" x14ac:dyDescent="0.85">
      <c r="C26">
        <v>20632</v>
      </c>
      <c r="D26" t="s">
        <v>5</v>
      </c>
      <c r="E26">
        <v>1</v>
      </c>
      <c r="F26">
        <v>1.68</v>
      </c>
      <c r="G26">
        <v>1.57</v>
      </c>
      <c r="I26">
        <v>0.59</v>
      </c>
    </row>
    <row r="27" spans="3:9" x14ac:dyDescent="0.85">
      <c r="C27">
        <v>23967</v>
      </c>
      <c r="D27" t="s">
        <v>6</v>
      </c>
      <c r="E27">
        <v>12</v>
      </c>
      <c r="F27">
        <v>4.1399999999999997</v>
      </c>
      <c r="G27">
        <v>6.6</v>
      </c>
      <c r="I27">
        <v>0.49</v>
      </c>
    </row>
    <row r="28" spans="3:9" x14ac:dyDescent="0.85">
      <c r="C28">
        <v>23509</v>
      </c>
      <c r="D28" t="s">
        <v>5</v>
      </c>
      <c r="E28">
        <v>13</v>
      </c>
      <c r="F28">
        <v>34.99</v>
      </c>
      <c r="G28">
        <v>7.73</v>
      </c>
      <c r="I28">
        <v>0.59</v>
      </c>
    </row>
    <row r="29" spans="3:9" x14ac:dyDescent="0.85">
      <c r="C29">
        <v>23612</v>
      </c>
      <c r="D29" t="s">
        <v>5</v>
      </c>
      <c r="E29">
        <v>2</v>
      </c>
      <c r="F29">
        <v>17.98</v>
      </c>
      <c r="G29">
        <v>8.51</v>
      </c>
      <c r="I29">
        <v>0.4</v>
      </c>
    </row>
    <row r="30" spans="3:9" x14ac:dyDescent="0.85">
      <c r="C30">
        <v>23278</v>
      </c>
      <c r="D30" t="s">
        <v>8</v>
      </c>
      <c r="E30">
        <v>8</v>
      </c>
      <c r="F30">
        <v>125.99</v>
      </c>
      <c r="G30">
        <v>7.69</v>
      </c>
      <c r="I30">
        <v>0.59</v>
      </c>
    </row>
    <row r="31" spans="3:9" x14ac:dyDescent="0.85">
      <c r="C31">
        <v>19355</v>
      </c>
      <c r="D31" t="s">
        <v>9</v>
      </c>
      <c r="E31">
        <v>22</v>
      </c>
      <c r="F31">
        <v>205.99</v>
      </c>
      <c r="G31">
        <v>8.99</v>
      </c>
      <c r="I31">
        <v>0.56000000000000005</v>
      </c>
    </row>
    <row r="32" spans="3:9" x14ac:dyDescent="0.85">
      <c r="C32">
        <v>23654</v>
      </c>
      <c r="D32" t="s">
        <v>6</v>
      </c>
      <c r="E32">
        <v>13</v>
      </c>
      <c r="F32">
        <v>4.24</v>
      </c>
      <c r="G32">
        <v>5.41</v>
      </c>
      <c r="I32">
        <v>0.35</v>
      </c>
    </row>
    <row r="33" spans="3:9" x14ac:dyDescent="0.85">
      <c r="C33">
        <v>23655</v>
      </c>
      <c r="D33" t="s">
        <v>6</v>
      </c>
      <c r="E33">
        <v>18</v>
      </c>
      <c r="F33">
        <v>2.94</v>
      </c>
      <c r="G33">
        <v>0.7</v>
      </c>
      <c r="I33">
        <v>0.57999999999999996</v>
      </c>
    </row>
    <row r="34" spans="3:9" x14ac:dyDescent="0.85">
      <c r="C34">
        <v>25933</v>
      </c>
      <c r="D34" t="s">
        <v>5</v>
      </c>
      <c r="E34">
        <v>6</v>
      </c>
      <c r="F34">
        <v>99.99</v>
      </c>
      <c r="G34">
        <v>19.989999999999998</v>
      </c>
      <c r="I34">
        <v>0.52</v>
      </c>
    </row>
    <row r="35" spans="3:9" x14ac:dyDescent="0.85">
      <c r="C35">
        <v>20697</v>
      </c>
      <c r="D35" t="s">
        <v>8</v>
      </c>
      <c r="E35">
        <v>6</v>
      </c>
      <c r="F35">
        <v>115.99</v>
      </c>
      <c r="G35">
        <v>2.5</v>
      </c>
      <c r="I35">
        <v>0.56999999999999995</v>
      </c>
    </row>
    <row r="36" spans="3:9" x14ac:dyDescent="0.85">
      <c r="C36">
        <v>20698</v>
      </c>
      <c r="D36" t="s">
        <v>8</v>
      </c>
      <c r="E36">
        <v>1</v>
      </c>
      <c r="F36">
        <v>3502.14</v>
      </c>
      <c r="G36">
        <v>8.73</v>
      </c>
      <c r="I36">
        <v>0.56999999999999995</v>
      </c>
    </row>
    <row r="37" spans="3:9" x14ac:dyDescent="0.85">
      <c r="C37">
        <v>22890</v>
      </c>
      <c r="D37" t="s">
        <v>5</v>
      </c>
      <c r="E37">
        <v>17</v>
      </c>
      <c r="F37">
        <v>175.99</v>
      </c>
      <c r="G37">
        <v>5.79</v>
      </c>
      <c r="I37">
        <v>0.36</v>
      </c>
    </row>
    <row r="38" spans="3:9" x14ac:dyDescent="0.85">
      <c r="C38">
        <v>25354</v>
      </c>
      <c r="D38" t="s">
        <v>5</v>
      </c>
      <c r="E38">
        <v>20</v>
      </c>
      <c r="F38">
        <v>155.06</v>
      </c>
      <c r="G38">
        <v>1.49</v>
      </c>
      <c r="I38">
        <v>0.38</v>
      </c>
    </row>
    <row r="39" spans="3:9" x14ac:dyDescent="0.85">
      <c r="C39">
        <v>21017</v>
      </c>
      <c r="D39" t="s">
        <v>6</v>
      </c>
      <c r="E39">
        <v>17</v>
      </c>
      <c r="F39">
        <v>5.98</v>
      </c>
      <c r="G39">
        <v>0.7</v>
      </c>
      <c r="I39">
        <v>0.56000000000000005</v>
      </c>
    </row>
    <row r="40" spans="3:9" x14ac:dyDescent="0.85">
      <c r="C40">
        <v>21019</v>
      </c>
      <c r="D40" t="s">
        <v>6</v>
      </c>
      <c r="E40">
        <v>3</v>
      </c>
      <c r="F40">
        <v>29.14</v>
      </c>
      <c r="G40">
        <v>5.15</v>
      </c>
      <c r="I40">
        <v>0.36</v>
      </c>
    </row>
    <row r="41" spans="3:9" x14ac:dyDescent="0.85">
      <c r="C41">
        <v>23274</v>
      </c>
      <c r="D41" t="s">
        <v>9</v>
      </c>
      <c r="E41">
        <v>17</v>
      </c>
      <c r="F41">
        <v>3.69</v>
      </c>
      <c r="G41">
        <v>4.8600000000000003</v>
      </c>
      <c r="I41">
        <v>0.38</v>
      </c>
    </row>
    <row r="42" spans="3:9" x14ac:dyDescent="0.85"/>
    <row r="43" spans="3:9" x14ac:dyDescent="0.85"/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D73B6B-F56A-484D-AC56-E345AD35BA65}">
  <dimension ref="B2:J43"/>
  <sheetViews>
    <sheetView tabSelected="1" zoomScale="55" zoomScaleNormal="55" workbookViewId="0">
      <selection activeCell="N13" sqref="N13"/>
    </sheetView>
  </sheetViews>
  <sheetFormatPr defaultRowHeight="14.6" x14ac:dyDescent="0.85"/>
  <cols>
    <col min="4" max="4" width="12" bestFit="1" customWidth="1"/>
    <col min="5" max="5" width="18" bestFit="1" customWidth="1"/>
    <col min="7" max="7" width="11.765625" bestFit="1" customWidth="1"/>
    <col min="8" max="8" width="18" bestFit="1" customWidth="1"/>
    <col min="9" max="9" width="20.34375" bestFit="1" customWidth="1"/>
  </cols>
  <sheetData>
    <row r="2" spans="2:10" x14ac:dyDescent="0.85">
      <c r="C2" s="1" t="s">
        <v>0</v>
      </c>
      <c r="I2" s="1" t="s">
        <v>19</v>
      </c>
    </row>
    <row r="3" spans="2:10" x14ac:dyDescent="0.85">
      <c r="C3" s="1" t="s">
        <v>1</v>
      </c>
      <c r="I3" t="s">
        <v>22</v>
      </c>
    </row>
    <row r="4" spans="2:10" x14ac:dyDescent="0.85">
      <c r="C4" s="1" t="s">
        <v>16</v>
      </c>
    </row>
    <row r="5" spans="2:10" x14ac:dyDescent="0.85">
      <c r="C5" s="1" t="s">
        <v>17</v>
      </c>
    </row>
    <row r="6" spans="2:10" x14ac:dyDescent="0.85">
      <c r="C6" s="1" t="s">
        <v>18</v>
      </c>
    </row>
    <row r="8" spans="2:10" x14ac:dyDescent="0.85">
      <c r="B8" s="4" t="s">
        <v>21</v>
      </c>
      <c r="C8" s="4" t="s">
        <v>3</v>
      </c>
      <c r="D8" s="4" t="s">
        <v>4</v>
      </c>
      <c r="E8" s="4" t="s">
        <v>11</v>
      </c>
      <c r="F8" s="4" t="s">
        <v>12</v>
      </c>
      <c r="G8" s="4" t="s">
        <v>13</v>
      </c>
      <c r="H8" s="4" t="s">
        <v>14</v>
      </c>
      <c r="I8" s="4" t="s">
        <v>15</v>
      </c>
      <c r="J8" s="4" t="s">
        <v>10</v>
      </c>
    </row>
    <row r="9" spans="2:10" x14ac:dyDescent="0.85">
      <c r="B9" s="2">
        <f>ROW()-8</f>
        <v>1</v>
      </c>
      <c r="C9" s="2">
        <v>20847</v>
      </c>
      <c r="D9" s="2" t="s">
        <v>5</v>
      </c>
      <c r="E9" s="2">
        <v>4</v>
      </c>
      <c r="F9" s="2">
        <v>2.84</v>
      </c>
      <c r="G9" s="2">
        <v>0.93</v>
      </c>
      <c r="H9" s="2">
        <f t="shared" ref="H9:H41" si="0">(E9*F9)+G9</f>
        <v>12.29</v>
      </c>
      <c r="I9" s="2">
        <v>0.54</v>
      </c>
      <c r="J9" s="2">
        <f t="shared" ref="J9:J41" si="1">I9*E9-G9</f>
        <v>1.23</v>
      </c>
    </row>
    <row r="10" spans="2:10" x14ac:dyDescent="0.85">
      <c r="B10" s="2">
        <f t="shared" ref="B10:B41" si="2">ROW()-8</f>
        <v>2</v>
      </c>
      <c r="C10" s="2">
        <v>20228</v>
      </c>
      <c r="D10" s="2" t="s">
        <v>6</v>
      </c>
      <c r="E10" s="2">
        <v>12</v>
      </c>
      <c r="F10" s="2">
        <v>500.98</v>
      </c>
      <c r="G10" s="2">
        <v>26</v>
      </c>
      <c r="H10" s="2">
        <f t="shared" si="0"/>
        <v>6037.76</v>
      </c>
      <c r="I10" s="2">
        <v>0.6</v>
      </c>
      <c r="J10" s="2">
        <f t="shared" si="1"/>
        <v>-18.8</v>
      </c>
    </row>
    <row r="11" spans="2:10" x14ac:dyDescent="0.85">
      <c r="B11" s="2">
        <f t="shared" si="2"/>
        <v>3</v>
      </c>
      <c r="C11" s="2">
        <v>21776</v>
      </c>
      <c r="D11" s="2" t="s">
        <v>7</v>
      </c>
      <c r="E11" s="2">
        <v>22</v>
      </c>
      <c r="F11" s="2">
        <v>9.48</v>
      </c>
      <c r="G11" s="2">
        <v>7.29</v>
      </c>
      <c r="H11" s="2">
        <f t="shared" si="0"/>
        <v>215.85</v>
      </c>
      <c r="I11" s="2">
        <v>0.45</v>
      </c>
      <c r="J11" s="2">
        <f t="shared" si="1"/>
        <v>2.6100000000000003</v>
      </c>
    </row>
    <row r="12" spans="2:10" x14ac:dyDescent="0.85">
      <c r="B12" s="2">
        <f t="shared" si="2"/>
        <v>4</v>
      </c>
      <c r="C12" s="2">
        <v>24844</v>
      </c>
      <c r="D12" s="2" t="s">
        <v>8</v>
      </c>
      <c r="E12" s="2">
        <v>16</v>
      </c>
      <c r="F12" s="2">
        <v>78.69</v>
      </c>
      <c r="G12" s="2">
        <v>19.989999999999998</v>
      </c>
      <c r="H12" s="2">
        <f t="shared" si="0"/>
        <v>1279.03</v>
      </c>
      <c r="I12" s="2">
        <v>0.43</v>
      </c>
      <c r="J12" s="2">
        <f t="shared" si="1"/>
        <v>-13.11</v>
      </c>
    </row>
    <row r="13" spans="2:10" x14ac:dyDescent="0.85">
      <c r="B13" s="2">
        <f t="shared" si="2"/>
        <v>5</v>
      </c>
      <c r="C13" s="2">
        <v>24846</v>
      </c>
      <c r="D13" s="2" t="s">
        <v>8</v>
      </c>
      <c r="E13" s="2">
        <v>7</v>
      </c>
      <c r="F13" s="2">
        <v>3.28</v>
      </c>
      <c r="G13" s="2">
        <v>2.31</v>
      </c>
      <c r="H13" s="2">
        <f t="shared" si="0"/>
        <v>25.269999999999996</v>
      </c>
      <c r="I13" s="2">
        <v>0.56000000000000005</v>
      </c>
      <c r="J13" s="2">
        <f t="shared" si="1"/>
        <v>1.6100000000000003</v>
      </c>
    </row>
    <row r="14" spans="2:10" x14ac:dyDescent="0.85">
      <c r="B14" s="2">
        <f t="shared" si="2"/>
        <v>6</v>
      </c>
      <c r="C14" s="2">
        <v>24847</v>
      </c>
      <c r="D14" s="2" t="s">
        <v>8</v>
      </c>
      <c r="E14" s="2">
        <v>4</v>
      </c>
      <c r="F14" s="2">
        <v>3.28</v>
      </c>
      <c r="G14" s="2">
        <v>4.2</v>
      </c>
      <c r="H14" s="2">
        <f t="shared" si="0"/>
        <v>17.32</v>
      </c>
      <c r="I14" s="2">
        <v>0.56000000000000005</v>
      </c>
      <c r="J14" s="2">
        <f t="shared" si="1"/>
        <v>-1.96</v>
      </c>
    </row>
    <row r="15" spans="2:10" x14ac:dyDescent="0.85">
      <c r="B15" s="2">
        <f t="shared" si="2"/>
        <v>7</v>
      </c>
      <c r="C15" s="2">
        <v>24848</v>
      </c>
      <c r="D15" s="2" t="s">
        <v>8</v>
      </c>
      <c r="E15" s="2">
        <v>4</v>
      </c>
      <c r="F15" s="2">
        <v>3.58</v>
      </c>
      <c r="G15" s="2">
        <v>1.63</v>
      </c>
      <c r="H15" s="2">
        <f t="shared" si="0"/>
        <v>15.95</v>
      </c>
      <c r="I15" s="2">
        <v>0.36</v>
      </c>
      <c r="J15" s="2">
        <f t="shared" si="1"/>
        <v>-0.18999999999999995</v>
      </c>
    </row>
    <row r="16" spans="2:10" x14ac:dyDescent="0.85">
      <c r="B16" s="2">
        <f t="shared" si="2"/>
        <v>8</v>
      </c>
      <c r="C16" s="2">
        <v>18181</v>
      </c>
      <c r="D16" s="2" t="s">
        <v>7</v>
      </c>
      <c r="E16" s="2">
        <v>7</v>
      </c>
      <c r="F16" s="2">
        <v>4.42</v>
      </c>
      <c r="G16" s="2">
        <v>4.99</v>
      </c>
      <c r="H16" s="2">
        <f t="shared" si="0"/>
        <v>35.93</v>
      </c>
      <c r="I16" s="2">
        <v>0.38</v>
      </c>
      <c r="J16" s="2">
        <f t="shared" si="1"/>
        <v>-2.33</v>
      </c>
    </row>
    <row r="17" spans="2:10" x14ac:dyDescent="0.85">
      <c r="B17" s="2">
        <f t="shared" si="2"/>
        <v>9</v>
      </c>
      <c r="C17" s="2">
        <v>20925</v>
      </c>
      <c r="D17" s="2" t="s">
        <v>8</v>
      </c>
      <c r="E17" s="2">
        <v>10</v>
      </c>
      <c r="F17" s="2">
        <v>35.94</v>
      </c>
      <c r="G17" s="2">
        <v>6.66</v>
      </c>
      <c r="H17" s="2">
        <f t="shared" si="0"/>
        <v>366.06</v>
      </c>
      <c r="I17" s="2">
        <v>0.4</v>
      </c>
      <c r="J17" s="2">
        <f t="shared" si="1"/>
        <v>-2.66</v>
      </c>
    </row>
    <row r="18" spans="2:10" x14ac:dyDescent="0.85">
      <c r="B18" s="2">
        <f t="shared" si="2"/>
        <v>10</v>
      </c>
      <c r="C18" s="2">
        <v>26267</v>
      </c>
      <c r="D18" s="2" t="s">
        <v>5</v>
      </c>
      <c r="E18" s="2">
        <v>6</v>
      </c>
      <c r="F18" s="2">
        <v>2.98</v>
      </c>
      <c r="G18" s="2">
        <v>1.58</v>
      </c>
      <c r="H18" s="2">
        <f t="shared" si="0"/>
        <v>19.46</v>
      </c>
      <c r="I18" s="2">
        <v>0.39</v>
      </c>
      <c r="J18" s="2">
        <f t="shared" si="1"/>
        <v>0.75999999999999979</v>
      </c>
    </row>
    <row r="19" spans="2:10" x14ac:dyDescent="0.85">
      <c r="B19" s="2">
        <f t="shared" si="2"/>
        <v>11</v>
      </c>
      <c r="C19" s="2">
        <v>26268</v>
      </c>
      <c r="D19" s="2" t="s">
        <v>5</v>
      </c>
      <c r="E19" s="2">
        <v>10</v>
      </c>
      <c r="F19" s="2">
        <v>115.99</v>
      </c>
      <c r="G19" s="2">
        <v>2.5</v>
      </c>
      <c r="H19" s="2">
        <f t="shared" si="0"/>
        <v>1162.3999999999999</v>
      </c>
      <c r="I19" s="2">
        <v>0.55000000000000004</v>
      </c>
      <c r="J19" s="2">
        <f t="shared" si="1"/>
        <v>3</v>
      </c>
    </row>
    <row r="20" spans="2:10" x14ac:dyDescent="0.85">
      <c r="B20" s="2">
        <f t="shared" si="2"/>
        <v>12</v>
      </c>
      <c r="C20" s="2">
        <v>23890</v>
      </c>
      <c r="D20" s="2" t="s">
        <v>5</v>
      </c>
      <c r="E20" s="2">
        <v>17</v>
      </c>
      <c r="F20" s="2">
        <v>26.48</v>
      </c>
      <c r="G20" s="2">
        <v>6.93</v>
      </c>
      <c r="H20" s="2">
        <f t="shared" si="0"/>
        <v>457.09000000000003</v>
      </c>
      <c r="I20" s="2">
        <v>0.49</v>
      </c>
      <c r="J20" s="2">
        <f t="shared" si="1"/>
        <v>1.4000000000000004</v>
      </c>
    </row>
    <row r="21" spans="2:10" x14ac:dyDescent="0.85">
      <c r="B21" s="2">
        <f t="shared" si="2"/>
        <v>13</v>
      </c>
      <c r="C21" s="2">
        <v>24063</v>
      </c>
      <c r="D21" s="2" t="s">
        <v>6</v>
      </c>
      <c r="E21" s="2">
        <v>18</v>
      </c>
      <c r="F21" s="2">
        <v>12.99</v>
      </c>
      <c r="G21" s="2">
        <v>9.44</v>
      </c>
      <c r="H21" s="2">
        <f t="shared" si="0"/>
        <v>243.26</v>
      </c>
      <c r="I21" s="2">
        <v>0.39</v>
      </c>
      <c r="J21" s="2">
        <f t="shared" si="1"/>
        <v>-2.419999999999999</v>
      </c>
    </row>
    <row r="22" spans="2:10" x14ac:dyDescent="0.85">
      <c r="B22" s="2">
        <f t="shared" si="2"/>
        <v>14</v>
      </c>
      <c r="C22" s="2">
        <v>5890</v>
      </c>
      <c r="D22" s="2" t="s">
        <v>5</v>
      </c>
      <c r="E22" s="2">
        <v>70</v>
      </c>
      <c r="F22" s="2">
        <v>26.48</v>
      </c>
      <c r="G22" s="2">
        <v>6.93</v>
      </c>
      <c r="H22" s="2">
        <f t="shared" si="0"/>
        <v>1860.5300000000002</v>
      </c>
      <c r="I22" s="2">
        <v>0.49</v>
      </c>
      <c r="J22" s="2">
        <f t="shared" si="1"/>
        <v>27.369999999999997</v>
      </c>
    </row>
    <row r="23" spans="2:10" x14ac:dyDescent="0.85">
      <c r="B23" s="2">
        <f t="shared" si="2"/>
        <v>15</v>
      </c>
      <c r="C23" s="2">
        <v>6062</v>
      </c>
      <c r="D23" s="2" t="s">
        <v>6</v>
      </c>
      <c r="E23" s="2">
        <v>58</v>
      </c>
      <c r="F23" s="2">
        <v>5</v>
      </c>
      <c r="G23" s="2">
        <v>3.39</v>
      </c>
      <c r="H23" s="2">
        <f t="shared" si="0"/>
        <v>293.39</v>
      </c>
      <c r="I23" s="2">
        <v>0.37</v>
      </c>
      <c r="J23" s="2">
        <f t="shared" si="1"/>
        <v>18.07</v>
      </c>
    </row>
    <row r="24" spans="2:10" x14ac:dyDescent="0.85">
      <c r="B24" s="2">
        <f t="shared" si="2"/>
        <v>16</v>
      </c>
      <c r="C24" s="2">
        <v>6063</v>
      </c>
      <c r="D24" s="2" t="s">
        <v>6</v>
      </c>
      <c r="E24" s="2">
        <v>71</v>
      </c>
      <c r="F24" s="2">
        <v>12.99</v>
      </c>
      <c r="G24" s="2">
        <v>9.44</v>
      </c>
      <c r="H24" s="2">
        <f t="shared" si="0"/>
        <v>931.73</v>
      </c>
      <c r="I24" s="2">
        <v>0.39</v>
      </c>
      <c r="J24" s="2">
        <f t="shared" si="1"/>
        <v>18.25</v>
      </c>
    </row>
    <row r="25" spans="2:10" x14ac:dyDescent="0.85">
      <c r="B25" s="2">
        <f t="shared" si="2"/>
        <v>17</v>
      </c>
      <c r="C25" s="2">
        <v>20631</v>
      </c>
      <c r="D25" s="2" t="s">
        <v>5</v>
      </c>
      <c r="E25" s="2">
        <v>1</v>
      </c>
      <c r="F25" s="2">
        <v>55.48</v>
      </c>
      <c r="G25" s="2">
        <v>14.3</v>
      </c>
      <c r="H25" s="2">
        <f t="shared" si="0"/>
        <v>69.78</v>
      </c>
      <c r="I25" s="2">
        <v>0.37</v>
      </c>
      <c r="J25" s="2">
        <f t="shared" si="1"/>
        <v>-13.930000000000001</v>
      </c>
    </row>
    <row r="26" spans="2:10" x14ac:dyDescent="0.85">
      <c r="B26" s="2">
        <f t="shared" si="2"/>
        <v>18</v>
      </c>
      <c r="C26" s="2">
        <v>20632</v>
      </c>
      <c r="D26" s="2" t="s">
        <v>5</v>
      </c>
      <c r="E26" s="2">
        <v>1</v>
      </c>
      <c r="F26" s="2">
        <v>1.68</v>
      </c>
      <c r="G26" s="2">
        <v>1.57</v>
      </c>
      <c r="H26" s="2">
        <f t="shared" si="0"/>
        <v>3.25</v>
      </c>
      <c r="I26" s="2">
        <v>0.59</v>
      </c>
      <c r="J26" s="2">
        <f t="shared" si="1"/>
        <v>-0.98000000000000009</v>
      </c>
    </row>
    <row r="27" spans="2:10" x14ac:dyDescent="0.85">
      <c r="B27" s="2">
        <f t="shared" si="2"/>
        <v>19</v>
      </c>
      <c r="C27" s="2">
        <v>23967</v>
      </c>
      <c r="D27" s="2" t="s">
        <v>6</v>
      </c>
      <c r="E27" s="2">
        <v>12</v>
      </c>
      <c r="F27" s="2">
        <v>4.1399999999999997</v>
      </c>
      <c r="G27" s="2">
        <v>6.6</v>
      </c>
      <c r="H27" s="2">
        <f t="shared" si="0"/>
        <v>56.279999999999994</v>
      </c>
      <c r="I27" s="2">
        <v>0.49</v>
      </c>
      <c r="J27" s="2">
        <f t="shared" si="1"/>
        <v>-0.71999999999999975</v>
      </c>
    </row>
    <row r="28" spans="2:10" x14ac:dyDescent="0.85">
      <c r="B28" s="2">
        <f t="shared" si="2"/>
        <v>20</v>
      </c>
      <c r="C28" s="2">
        <v>23509</v>
      </c>
      <c r="D28" s="2" t="s">
        <v>5</v>
      </c>
      <c r="E28" s="2">
        <v>13</v>
      </c>
      <c r="F28" s="2">
        <v>34.99</v>
      </c>
      <c r="G28" s="2">
        <v>7.73</v>
      </c>
      <c r="H28" s="2">
        <f t="shared" si="0"/>
        <v>462.6</v>
      </c>
      <c r="I28" s="2">
        <v>0.59</v>
      </c>
      <c r="J28" s="2">
        <f t="shared" si="1"/>
        <v>-6.0000000000000497E-2</v>
      </c>
    </row>
    <row r="29" spans="2:10" x14ac:dyDescent="0.85">
      <c r="B29" s="2">
        <f t="shared" si="2"/>
        <v>21</v>
      </c>
      <c r="C29" s="2">
        <v>23612</v>
      </c>
      <c r="D29" s="2" t="s">
        <v>5</v>
      </c>
      <c r="E29" s="2">
        <v>2</v>
      </c>
      <c r="F29" s="2">
        <v>17.98</v>
      </c>
      <c r="G29" s="2">
        <v>8.51</v>
      </c>
      <c r="H29" s="2">
        <f t="shared" si="0"/>
        <v>44.47</v>
      </c>
      <c r="I29" s="2">
        <v>0.4</v>
      </c>
      <c r="J29" s="2">
        <f t="shared" si="1"/>
        <v>-7.71</v>
      </c>
    </row>
    <row r="30" spans="2:10" x14ac:dyDescent="0.85">
      <c r="B30" s="2">
        <f t="shared" si="2"/>
        <v>22</v>
      </c>
      <c r="C30" s="2">
        <v>23278</v>
      </c>
      <c r="D30" s="2" t="s">
        <v>8</v>
      </c>
      <c r="E30" s="2">
        <v>8</v>
      </c>
      <c r="F30" s="2">
        <v>125.99</v>
      </c>
      <c r="G30" s="2">
        <v>7.69</v>
      </c>
      <c r="H30" s="2">
        <f t="shared" si="0"/>
        <v>1015.61</v>
      </c>
      <c r="I30" s="2">
        <v>0.59</v>
      </c>
      <c r="J30" s="2">
        <f t="shared" si="1"/>
        <v>-2.9700000000000006</v>
      </c>
    </row>
    <row r="31" spans="2:10" x14ac:dyDescent="0.85">
      <c r="B31" s="2">
        <f t="shared" si="2"/>
        <v>23</v>
      </c>
      <c r="C31" s="2">
        <v>19355</v>
      </c>
      <c r="D31" s="2" t="s">
        <v>9</v>
      </c>
      <c r="E31" s="2">
        <v>22</v>
      </c>
      <c r="F31" s="2">
        <v>205.99</v>
      </c>
      <c r="G31" s="2">
        <v>8.99</v>
      </c>
      <c r="H31" s="2">
        <f t="shared" si="0"/>
        <v>4540.7700000000004</v>
      </c>
      <c r="I31" s="2">
        <v>0.56000000000000005</v>
      </c>
      <c r="J31" s="2">
        <f t="shared" si="1"/>
        <v>3.33</v>
      </c>
    </row>
    <row r="32" spans="2:10" x14ac:dyDescent="0.85">
      <c r="B32" s="2">
        <f t="shared" si="2"/>
        <v>24</v>
      </c>
      <c r="C32" s="2">
        <v>23654</v>
      </c>
      <c r="D32" s="2" t="s">
        <v>6</v>
      </c>
      <c r="E32" s="2">
        <v>13</v>
      </c>
      <c r="F32" s="2">
        <v>4.24</v>
      </c>
      <c r="G32" s="2">
        <v>5.41</v>
      </c>
      <c r="H32" s="2">
        <f t="shared" si="0"/>
        <v>60.53</v>
      </c>
      <c r="I32" s="2">
        <v>0.35</v>
      </c>
      <c r="J32" s="2">
        <f t="shared" si="1"/>
        <v>-0.86000000000000032</v>
      </c>
    </row>
    <row r="33" spans="2:10" x14ac:dyDescent="0.85">
      <c r="B33" s="2">
        <f t="shared" si="2"/>
        <v>25</v>
      </c>
      <c r="C33" s="2">
        <v>23655</v>
      </c>
      <c r="D33" s="2" t="s">
        <v>6</v>
      </c>
      <c r="E33" s="2">
        <v>18</v>
      </c>
      <c r="F33" s="2">
        <v>2.94</v>
      </c>
      <c r="G33" s="2">
        <v>0.7</v>
      </c>
      <c r="H33" s="2">
        <f t="shared" si="0"/>
        <v>53.620000000000005</v>
      </c>
      <c r="I33" s="2">
        <v>0.57999999999999996</v>
      </c>
      <c r="J33" s="2">
        <f t="shared" si="1"/>
        <v>9.74</v>
      </c>
    </row>
    <row r="34" spans="2:10" x14ac:dyDescent="0.85">
      <c r="B34" s="2">
        <f t="shared" si="2"/>
        <v>26</v>
      </c>
      <c r="C34" s="2">
        <v>25933</v>
      </c>
      <c r="D34" s="2" t="s">
        <v>5</v>
      </c>
      <c r="E34" s="2">
        <v>6</v>
      </c>
      <c r="F34" s="2">
        <v>99.99</v>
      </c>
      <c r="G34" s="2">
        <v>19.989999999999998</v>
      </c>
      <c r="H34" s="2">
        <f t="shared" si="0"/>
        <v>619.92999999999995</v>
      </c>
      <c r="I34" s="2">
        <v>0.52</v>
      </c>
      <c r="J34" s="2">
        <f t="shared" si="1"/>
        <v>-16.869999999999997</v>
      </c>
    </row>
    <row r="35" spans="2:10" x14ac:dyDescent="0.85">
      <c r="B35" s="2">
        <f t="shared" si="2"/>
        <v>27</v>
      </c>
      <c r="C35" s="2">
        <v>20697</v>
      </c>
      <c r="D35" s="2" t="s">
        <v>8</v>
      </c>
      <c r="E35" s="2">
        <v>6</v>
      </c>
      <c r="F35" s="2">
        <v>115.99</v>
      </c>
      <c r="G35" s="2">
        <v>2.5</v>
      </c>
      <c r="H35" s="2">
        <f t="shared" si="0"/>
        <v>698.43999999999994</v>
      </c>
      <c r="I35" s="2">
        <v>0.56999999999999995</v>
      </c>
      <c r="J35" s="2">
        <f t="shared" si="1"/>
        <v>0.91999999999999993</v>
      </c>
    </row>
    <row r="36" spans="2:10" x14ac:dyDescent="0.85">
      <c r="B36" s="2">
        <f t="shared" si="2"/>
        <v>28</v>
      </c>
      <c r="C36" s="2">
        <v>20698</v>
      </c>
      <c r="D36" s="2" t="s">
        <v>8</v>
      </c>
      <c r="E36" s="2">
        <v>1</v>
      </c>
      <c r="F36" s="2">
        <v>3502.14</v>
      </c>
      <c r="G36" s="2">
        <v>8.73</v>
      </c>
      <c r="H36" s="2">
        <f t="shared" si="0"/>
        <v>3510.87</v>
      </c>
      <c r="I36" s="2">
        <v>0.56999999999999995</v>
      </c>
      <c r="J36" s="2">
        <f t="shared" si="1"/>
        <v>-8.16</v>
      </c>
    </row>
    <row r="37" spans="2:10" x14ac:dyDescent="0.85">
      <c r="B37" s="2">
        <f t="shared" si="2"/>
        <v>29</v>
      </c>
      <c r="C37" s="2">
        <v>22890</v>
      </c>
      <c r="D37" s="2" t="s">
        <v>5</v>
      </c>
      <c r="E37" s="2">
        <v>17</v>
      </c>
      <c r="F37" s="2">
        <v>175.99</v>
      </c>
      <c r="G37" s="2">
        <v>5.79</v>
      </c>
      <c r="H37" s="2">
        <f t="shared" si="0"/>
        <v>2997.62</v>
      </c>
      <c r="I37" s="2">
        <v>0.36</v>
      </c>
      <c r="J37" s="2">
        <f t="shared" si="1"/>
        <v>0.33000000000000007</v>
      </c>
    </row>
    <row r="38" spans="2:10" x14ac:dyDescent="0.85">
      <c r="B38" s="2">
        <f t="shared" si="2"/>
        <v>30</v>
      </c>
      <c r="C38" s="2">
        <v>25354</v>
      </c>
      <c r="D38" s="2" t="s">
        <v>5</v>
      </c>
      <c r="E38" s="2">
        <v>20</v>
      </c>
      <c r="F38" s="2">
        <v>155.06</v>
      </c>
      <c r="G38" s="2">
        <v>1.49</v>
      </c>
      <c r="H38" s="2">
        <f t="shared" si="0"/>
        <v>3102.6899999999996</v>
      </c>
      <c r="I38" s="2">
        <v>0.38</v>
      </c>
      <c r="J38" s="2">
        <f t="shared" si="1"/>
        <v>6.1099999999999994</v>
      </c>
    </row>
    <row r="39" spans="2:10" x14ac:dyDescent="0.85">
      <c r="B39" s="2">
        <f t="shared" si="2"/>
        <v>31</v>
      </c>
      <c r="C39" s="2">
        <v>21017</v>
      </c>
      <c r="D39" s="2" t="s">
        <v>6</v>
      </c>
      <c r="E39" s="2">
        <v>17</v>
      </c>
      <c r="F39" s="2">
        <v>5.98</v>
      </c>
      <c r="G39" s="2">
        <v>0.7</v>
      </c>
      <c r="H39" s="2">
        <f t="shared" si="0"/>
        <v>102.36000000000001</v>
      </c>
      <c r="I39" s="2">
        <v>0.56000000000000005</v>
      </c>
      <c r="J39" s="2">
        <f t="shared" si="1"/>
        <v>8.8200000000000021</v>
      </c>
    </row>
    <row r="40" spans="2:10" x14ac:dyDescent="0.85">
      <c r="B40" s="2">
        <f t="shared" si="2"/>
        <v>32</v>
      </c>
      <c r="C40" s="2">
        <v>21019</v>
      </c>
      <c r="D40" s="2" t="s">
        <v>6</v>
      </c>
      <c r="E40" s="2">
        <v>3</v>
      </c>
      <c r="F40" s="2">
        <v>29.14</v>
      </c>
      <c r="G40" s="2">
        <v>5.15</v>
      </c>
      <c r="H40" s="2">
        <f t="shared" si="0"/>
        <v>92.570000000000007</v>
      </c>
      <c r="I40" s="2">
        <v>0.36</v>
      </c>
      <c r="J40" s="2">
        <f t="shared" si="1"/>
        <v>-4.07</v>
      </c>
    </row>
    <row r="41" spans="2:10" x14ac:dyDescent="0.85">
      <c r="B41" s="2">
        <f t="shared" si="2"/>
        <v>33</v>
      </c>
      <c r="C41" s="2">
        <v>23274</v>
      </c>
      <c r="D41" s="2" t="s">
        <v>9</v>
      </c>
      <c r="E41" s="2">
        <v>17</v>
      </c>
      <c r="F41" s="2">
        <v>3.69</v>
      </c>
      <c r="G41" s="2">
        <v>4.8600000000000003</v>
      </c>
      <c r="H41" s="2">
        <f t="shared" si="0"/>
        <v>67.59</v>
      </c>
      <c r="I41" s="2">
        <v>0.38</v>
      </c>
      <c r="J41" s="2">
        <f t="shared" si="1"/>
        <v>1.5999999999999996</v>
      </c>
    </row>
    <row r="42" spans="2:10" x14ac:dyDescent="0.85">
      <c r="B42" s="2"/>
      <c r="C42" s="2"/>
      <c r="D42" s="2"/>
      <c r="E42" s="2"/>
      <c r="F42" s="2"/>
      <c r="G42" s="2"/>
      <c r="H42" s="2"/>
      <c r="I42" s="2"/>
      <c r="J42" s="2"/>
    </row>
    <row r="43" spans="2:10" x14ac:dyDescent="0.85">
      <c r="B43" s="2"/>
      <c r="C43" s="2"/>
      <c r="D43" s="2"/>
      <c r="E43" s="3">
        <f>SUM(E$9:E41)</f>
        <v>513</v>
      </c>
      <c r="F43" s="3">
        <f>SUM(F$9:F41)</f>
        <v>5386.8099999999995</v>
      </c>
      <c r="G43" s="3">
        <f>SUM(G$9:G41)</f>
        <v>224.91999999999996</v>
      </c>
      <c r="H43" s="3">
        <f>SUM(H$9:H41)</f>
        <v>30472.299999999996</v>
      </c>
      <c r="I43" s="3">
        <f>SUM(I$9:I41)</f>
        <v>15.570000000000002</v>
      </c>
      <c r="J43" s="3">
        <f>SUM(J$9:J41)</f>
        <v>7.3499999999999908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6CDAA-3DEF-42FA-B246-DE3283186E32}">
  <dimension ref="C3:C7"/>
  <sheetViews>
    <sheetView workbookViewId="0">
      <selection activeCell="D12" sqref="D12"/>
    </sheetView>
  </sheetViews>
  <sheetFormatPr defaultRowHeight="14.6" x14ac:dyDescent="0.85"/>
  <sheetData>
    <row r="3" spans="3:3" x14ac:dyDescent="0.85">
      <c r="C3" s="1" t="s">
        <v>2</v>
      </c>
    </row>
    <row r="4" spans="3:3" x14ac:dyDescent="0.85">
      <c r="C4" s="1" t="s">
        <v>20</v>
      </c>
    </row>
    <row r="7" spans="3:3" x14ac:dyDescent="0.85">
      <c r="C7" t="s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1</vt:lpstr>
      <vt:lpstr>1 - Answer</vt:lpstr>
      <vt:lpstr>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Arun John P</cp:lastModifiedBy>
  <dcterms:created xsi:type="dcterms:W3CDTF">2015-06-05T18:17:20Z</dcterms:created>
  <dcterms:modified xsi:type="dcterms:W3CDTF">2024-01-28T16:39:56Z</dcterms:modified>
</cp:coreProperties>
</file>